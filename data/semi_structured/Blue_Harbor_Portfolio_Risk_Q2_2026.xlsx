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3cce76510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ings_Summary" sheetId="1" r:id="R2d36f9dc89a74c9b"/>
    <x:sheet xmlns:r="http://schemas.openxmlformats.org/officeDocument/2006/relationships" name="Fund_Exposure" sheetId="2" r:id="R58c62b22eba3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%;[Red](0.0%);-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3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9c369fa994d1a" /><Relationship Type="http://schemas.openxmlformats.org/officeDocument/2006/relationships/theme" Target="/xl/theme/theme1.xml" Id="Rc46c1f10c4504500" /><Relationship Type="http://schemas.openxmlformats.org/officeDocument/2006/relationships/sharedStrings" Target="/xl/sharedStrings.xml" Id="R1824131ca70a4f0e" /><Relationship Type="http://schemas.openxmlformats.org/officeDocument/2006/relationships/worksheet" Target="/xl/worksheets/sheet1.xml" Id="R2d36f9dc89a74c9b" /><Relationship Type="http://schemas.openxmlformats.org/officeDocument/2006/relationships/worksheet" Target="/xl/worksheets/sheet2.xml" Id="R58c62b22eba3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34" hidden="0" customWidth="1"/>
    <x:col min="7" max="7" width="26" hidden="0" customWidth="1"/>
  </x:cols>
  <x:sheetData>
    <x:row r="1">
      <x:c r="A1" s="3" t="str">
        <x:v>Blue Harbor Portfolio Exposure - Q2 2026 (Synthetic)</x:v>
      </x:c>
      <x:c r="B1" s="3"/>
      <x:c r="C1" s="3"/>
      <x:c r="D1" s="3"/>
      <x:c r="E1" s="3"/>
      <x:c r="F1" s="3"/>
      <x:c r="G1" s="3"/>
    </x:row>
    <x:row r="3">
      <x:c r="A3" s="7" t="str">
        <x:v>Ticker</x:v>
      </x:c>
      <x:c r="B3" s="7" t="str">
        <x:v>Company</x:v>
      </x:c>
      <x:c r="C3" s="7" t="str">
        <x:v>Market Value ($mm)</x:v>
      </x:c>
      <x:c r="D3" s="7" t="str">
        <x:v>Guidance Action</x:v>
      </x:c>
      <x:c r="E3" s="7" t="str">
        <x:v>Affected Exposure ($mm)</x:v>
      </x:c>
      <x:c r="F3" s="7" t="str">
        <x:v>Portfolio Comment</x:v>
      </x:c>
      <x:c r="G3" s="7" t="str">
        <x:v>Source</x:v>
      </x:c>
    </x:row>
    <x:row r="4">
      <x:c r="A4" t="str">
        <x:v>NOVA</x:v>
      </x:c>
      <x:c r="B4" t="str">
        <x:v>NovaChip Technologies</x:v>
      </x:c>
      <x:c r="C4" s="12" t="n">
        <x:v>220</x:v>
      </x:c>
      <x:c r="D4" s="13" t="str">
        <x:v>Lowered</x:v>
      </x:c>
      <x:c r="E4" s="13" t="n">
        <x:f>IF(D4="Lowered",C4,0)</x:f>
        <x:v>220</x:v>
      </x:c>
      <x:c r="F4" t="str">
        <x:v>Large exposure to a guidance-cut name</x:v>
      </x:c>
      <x:c r="G4" t="str">
        <x:v>Synthetic holdings + earnings</x:v>
      </x:c>
    </x:row>
    <x:row r="5">
      <x:c r="A5" t="str">
        <x:v>EVRG</x:v>
      </x:c>
      <x:c r="B5" t="str">
        <x:v>Evergreen Energy Systems</x:v>
      </x:c>
      <x:c r="C5" s="12" t="n">
        <x:v>85</x:v>
      </x:c>
      <x:c r="D5" s="13" t="str">
        <x:v>Lowered</x:v>
      </x:c>
      <x:c r="E5" s="13" t="n">
        <x:f>IF(D5="Lowered",C5,0)</x:f>
        <x:v>85</x:v>
      </x:c>
      <x:c r="F5" t="str">
        <x:v>Moderate exposure; 2026 timing reset</x:v>
      </x:c>
      <x:c r="G5" t="str">
        <x:v>Synthetic holdings + earnings</x:v>
      </x:c>
    </x:row>
    <x:row r="6">
      <x:c r="A6" t="str">
        <x:v>APXR</x:v>
      </x:c>
      <x:c r="B6" t="str">
        <x:v>Apex Retail Group</x:v>
      </x:c>
      <x:c r="C6" s="12" t="n">
        <x:v>140</x:v>
      </x:c>
      <x:c r="D6" s="13" t="str">
        <x:v>Maintained</x:v>
      </x:c>
      <x:c r="E6" s="13" t="n">
        <x:f>IF(D6="Lowered",C6,0)</x:f>
        <x:v>0</x:v>
      </x:c>
      <x:c r="F6" t="str">
        <x:v>Guidance unchanged</x:v>
      </x:c>
      <x:c r="G6" t="str">
        <x:v>Synthetic holdings + earnings</x:v>
      </x:c>
    </x:row>
    <x:row r="7">
      <x:c r="A7" t="str">
        <x:v>MDHN</x:v>
      </x:c>
      <x:c r="B7" t="str">
        <x:v>Meridian Health Systems</x:v>
      </x:c>
      <x:c r="C7" s="12" t="n">
        <x:v>120</x:v>
      </x:c>
      <x:c r="D7" s="13" t="str">
        <x:v>Raised</x:v>
      </x:c>
      <x:c r="E7" s="13" t="n">
        <x:f>IF(D7="Lowered",C7,0)</x:f>
        <x:v>0</x:v>
      </x:c>
      <x:c r="F7" t="str">
        <x:v>Positive revision</x:v>
      </x:c>
      <x:c r="G7" t="str">
        <x:v>Synthetic holdings + earnings</x:v>
      </x:c>
    </x:row>
    <x:row r="8">
      <x:c r="A8" t="str">
        <x:v>VTXI</x:v>
      </x:c>
      <x:c r="B8" t="str">
        <x:v>Vertex Industrial Technologies</x:v>
      </x:c>
      <x:c r="C8" s="12" t="n">
        <x:v>75</x:v>
      </x:c>
      <x:c r="D8" s="13" t="str">
        <x:v>Maintained</x:v>
      </x:c>
      <x:c r="E8" s="13" t="n">
        <x:f>IF(D8="Lowered",C8,0)</x:f>
        <x:v>0</x:v>
      </x:c>
      <x:c r="F8" t="str">
        <x:v>Guidance unchanged</x:v>
      </x:c>
      <x:c r="G8" t="str">
        <x:v>Synthetic holdings + earnings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6" t="str">
        <x:v>Exposure to Guidance-Cut Companies by Fund ($mm)</x:v>
      </x:c>
      <x:c r="B1" s="16"/>
      <x:c r="C1" s="16"/>
      <x:c r="D1" s="16"/>
      <x:c r="E1" s="16"/>
      <x:c r="F1" s="16"/>
    </x:row>
    <x:row r="3">
      <x:c r="A3" s="7" t="str">
        <x:v>Fund</x:v>
      </x:c>
      <x:c r="B3" s="7" t="str">
        <x:v>NOVA</x:v>
      </x:c>
      <x:c r="C3" s="7" t="str">
        <x:v>EVRG</x:v>
      </x:c>
      <x:c r="D3" s="7" t="str">
        <x:v>Total Affected Exposure</x:v>
      </x:c>
      <x:c r="E3" s="7" t="str">
        <x:v>Total Fund AUM</x:v>
      </x:c>
      <x:c r="F3" s="7" t="str">
        <x:v>Affected % of AUM</x:v>
      </x:c>
    </x:row>
    <x:row r="4">
      <x:c r="A4" t="str">
        <x:v>Blue Harbor Growth Fund</x:v>
      </x:c>
      <x:c r="B4" s="12" t="n">
        <x:v>120</x:v>
      </x:c>
      <x:c r="C4" s="12" t="n">
        <x:v>40</x:v>
      </x:c>
      <x:c r="D4" s="13" t="n">
        <x:f>SUM(B4:C4)</x:f>
        <x:v>160</x:v>
      </x:c>
      <x:c r="E4" s="12" t="n">
        <x:v>2500</x:v>
      </x:c>
      <x:c r="F4" s="18" t="n">
        <x:f>IF(E4=0,0,D4/E4)</x:f>
        <x:v>0.064</x:v>
      </x:c>
    </x:row>
    <x:row r="5">
      <x:c r="A5" t="str">
        <x:v>Blue Harbor Core Equity Fund</x:v>
      </x:c>
      <x:c r="B5" s="12" t="n">
        <x:v>70</x:v>
      </x:c>
      <x:c r="C5" s="12" t="n">
        <x:v>30</x:v>
      </x:c>
      <x:c r="D5" s="13" t="n">
        <x:f>SUM(B5:C5)</x:f>
        <x:v>100</x:v>
      </x:c>
      <x:c r="E5" s="12" t="n">
        <x:v>2500</x:v>
      </x:c>
      <x:c r="F5" s="18" t="n">
        <x:f>IF(E5=0,0,D5/E5)</x:f>
        <x:v>0.04</x:v>
      </x:c>
    </x:row>
    <x:row r="6">
      <x:c r="A6" t="str">
        <x:v>Blue Harbor Sustainable Opportunities Fund</x:v>
      </x:c>
      <x:c r="B6" s="12" t="n">
        <x:v>30</x:v>
      </x:c>
      <x:c r="C6" s="12" t="n">
        <x:v>15</x:v>
      </x:c>
      <x:c r="D6" s="13" t="n">
        <x:f>SUM(B6:C6)</x:f>
        <x:v>45</x:v>
      </x:c>
      <x:c r="E6" s="12" t="n">
        <x:v>2500</x:v>
      </x:c>
      <x:c r="F6" s="18" t="n">
        <x:f>IF(E6=0,0,D6/E6)</x:f>
        <x:v>0.018</x:v>
      </x:c>
    </x:row>
  </x:sheetData>
  <x:mergeCells>
    <x:mergeCell ref="A1:F1"/>
  </x:mergeCells>
  <x:pageMargins left="0.7" right="0.7" top="0.75" bottom="0.75" header="0.3" footer="0.3"/>
</x:worksheet>
</file>