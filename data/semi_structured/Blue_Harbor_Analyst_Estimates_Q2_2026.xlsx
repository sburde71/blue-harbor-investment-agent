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cdc2a377b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26cd5763824b3b"/>
    <x:sheet xmlns:r="http://schemas.openxmlformats.org/officeDocument/2006/relationships" name="Revenue_Estimates" sheetId="2" r:id="R98bc19616ec846ac"/>
    <x:sheet xmlns:r="http://schemas.openxmlformats.org/officeDocument/2006/relationships" name="EPS_Estimates" sheetId="3" r:id="R61dc18551e404252"/>
    <x:sheet xmlns:r="http://schemas.openxmlformats.org/officeDocument/2006/relationships" name="Guidance_History" sheetId="4" r:id="R3916f9bf518f4bf6"/>
    <x:sheet xmlns:r="http://schemas.openxmlformats.org/officeDocument/2006/relationships" name="Target_Prices" sheetId="5" r:id="R192c72fa125c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;-"/>
    <x:numFmt numFmtId="201" formatCode="0.0%;[Red](0.0%);-"/>
    <x:numFmt numFmtId="202" formatCode="$0.00;[Red]($0.00);-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4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51a6dcfee4b4b" /><Relationship Type="http://schemas.openxmlformats.org/officeDocument/2006/relationships/theme" Target="/xl/theme/theme1.xml" Id="R18a103e06e1f4086" /><Relationship Type="http://schemas.openxmlformats.org/officeDocument/2006/relationships/sharedStrings" Target="/xl/sharedStrings.xml" Id="Rb5e8d74304854e8e" /><Relationship Type="http://schemas.openxmlformats.org/officeDocument/2006/relationships/worksheet" Target="/xl/worksheets/sheet1.xml" Id="Rca26cd5763824b3b" /><Relationship Type="http://schemas.openxmlformats.org/officeDocument/2006/relationships/worksheet" Target="/xl/worksheets/sheet2.xml" Id="R98bc19616ec846ac" /><Relationship Type="http://schemas.openxmlformats.org/officeDocument/2006/relationships/worksheet" Target="/xl/worksheets/sheet3.xml" Id="R61dc18551e404252" /><Relationship Type="http://schemas.openxmlformats.org/officeDocument/2006/relationships/worksheet" Target="/xl/worksheets/sheet4.xml" Id="R3916f9bf518f4bf6" /><Relationship Type="http://schemas.openxmlformats.org/officeDocument/2006/relationships/worksheet" Target="/xl/worksheets/sheet5.xml" Id="R192c72fa125c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16" hidden="0" customWidth="1"/>
    <x:col min="4" max="4" width="28" hidden="0" customWidth="1"/>
    <x:col min="5" max="5" width="28" hidden="0" customWidth="1"/>
    <x:col min="6" max="6" width="42" hidden="0" customWidth="1"/>
    <x:col min="7" max="7" width="28" hidden="0" customWidth="1"/>
  </x:cols>
  <x:sheetData>
    <x:row r="1">
      <x:c r="A1" s="5" t="str">
        <x:v>Blue Harbor - Analyst Estimates Q2 2026 (Synthetic)</x:v>
      </x:c>
      <x:c r="B1" s="5"/>
      <x:c r="C1" s="5"/>
      <x:c r="D1" s="5"/>
      <x:c r="E1" s="5"/>
      <x:c r="F1" s="5"/>
      <x:c r="G1" s="5"/>
    </x:row>
    <x:row r="3">
      <x:c r="A3" s="12" t="str">
        <x:v>Ticker</x:v>
      </x:c>
      <x:c r="B3" s="12" t="str">
        <x:v>Company</x:v>
      </x:c>
      <x:c r="C3" s="12" t="str">
        <x:v>Guidance Action</x:v>
      </x:c>
      <x:c r="D3" s="12" t="str">
        <x:v>Prior Outlook</x:v>
      </x:c>
      <x:c r="E3" s="12" t="str">
        <x:v>Current Outlook</x:v>
      </x:c>
      <x:c r="F3" s="12" t="str">
        <x:v>Blue Harbor View</x:v>
      </x:c>
      <x:c r="G3" s="12" t="str">
        <x:v>Source</x:v>
      </x:c>
    </x:row>
    <x:row r="4">
      <x:c r="A4" s="16" t="str">
        <x:v>NOVA</x:v>
      </x:c>
      <x:c r="B4" s="16" t="str">
        <x:v>NovaChip Technologies</x:v>
      </x:c>
      <x:c r="C4" s="16" t="str">
        <x:v>Lowered</x:v>
      </x:c>
      <x:c r="D4" s="16" t="str">
        <x:v>$5.4-$5.6B revenue</x:v>
      </x:c>
      <x:c r="E4" s="16" t="str">
        <x:v>$5.0-$5.2B revenue</x:v>
      </x:c>
      <x:c r="F4" s="16" t="str">
        <x:v>Timing/mix risk; demand commentary remains constructive</x:v>
      </x:c>
      <x:c r="G4" s="16" t="str">
        <x:v>Synthetic Q2 earnings materials</x:v>
      </x:c>
    </x:row>
    <x:row r="5">
      <x:c r="A5" s="16" t="str">
        <x:v>EVRG</x:v>
      </x:c>
      <x:c r="B5" s="16" t="str">
        <x:v>Evergreen Energy Systems</x:v>
      </x:c>
      <x:c r="C5" s="16" t="str">
        <x:v>Lowered</x:v>
      </x:c>
      <x:c r="D5" s="16" t="str">
        <x:v>$1.80-$1.90B EBITDA</x:v>
      </x:c>
      <x:c r="E5" s="16" t="str">
        <x:v>$1.60-$1.70B EBITDA</x:v>
      </x:c>
      <x:c r="F5" s="16" t="str">
        <x:v>2026 timing reset; backlog remains contracted</x:v>
      </x:c>
      <x:c r="G5" s="16" t="str">
        <x:v>Synthetic Q2 earnings materials</x:v>
      </x:c>
    </x:row>
    <x:row r="6">
      <x:c r="A6" s="16" t="str">
        <x:v>APXR</x:v>
      </x:c>
      <x:c r="B6" s="16" t="str">
        <x:v>Apex Retail Group</x:v>
      </x:c>
      <x:c r="C6" s="16" t="str">
        <x:v>Maintained</x:v>
      </x:c>
      <x:c r="D6" s="16" t="str">
        <x:v>4%-6% revenue growth; $7.10-$7.40 EPS</x:v>
      </x:c>
      <x:c r="E6" s="16" t="str">
        <x:v>Same</x:v>
      </x:c>
      <x:c r="F6" s="16" t="str">
        <x:v>Stable execution; freight pressure manageable</x:v>
      </x:c>
      <x:c r="G6" s="16" t="str">
        <x:v>Synthetic Q2 earnings materials</x:v>
      </x:c>
    </x:row>
    <x:row r="7">
      <x:c r="A7" s="16" t="str">
        <x:v>MDHN</x:v>
      </x:c>
      <x:c r="B7" s="16" t="str">
        <x:v>Meridian Health Systems</x:v>
      </x:c>
      <x:c r="C7" s="16" t="str">
        <x:v>Raised</x:v>
      </x:c>
      <x:c r="D7" s="16" t="str">
        <x:v>6%-8% revenue growth; $5.90-$6.20 EPS</x:v>
      </x:c>
      <x:c r="E7" s="16" t="str">
        <x:v>8%-10% revenue growth; $6.20-$6.45 EPS</x:v>
      </x:c>
      <x:c r="F7" s="16" t="str">
        <x:v>Utilization/productivity supports higher outlook</x:v>
      </x:c>
      <x:c r="G7" s="16" t="str">
        <x:v>Synthetic Q2 earnings materials</x:v>
      </x:c>
    </x:row>
    <x:row r="8">
      <x:c r="A8" s="16" t="str">
        <x:v>VTXI</x:v>
      </x:c>
      <x:c r="B8" s="16" t="str">
        <x:v>Vertex Industrial Technologies</x:v>
      </x:c>
      <x:c r="C8" s="16" t="str">
        <x:v>Maintained</x:v>
      </x:c>
      <x:c r="D8" s="16" t="str">
        <x:v>$7.1-$7.3B revenue; $9.00-$9.40 EPS</x:v>
      </x:c>
      <x:c r="E8" s="16" t="str">
        <x:v>Same</x:v>
      </x:c>
      <x:c r="F8" s="16" t="str">
        <x:v>Automation strength offsets mixed end markets</x:v>
      </x:c>
      <x:c r="G8" s="16" t="str">
        <x:v>Synthetic Q2 earnings materials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</x:cols>
  <x:sheetData>
    <x:row r="1">
      <x:c r="A1" s="18" t="str">
        <x:v>Revenue Estimates ($mm)</x:v>
      </x:c>
      <x:c r="B1" s="18"/>
      <x:c r="C1" s="18"/>
      <x:c r="D1" s="18"/>
      <x:c r="E1" s="18"/>
      <x:c r="F1" s="18"/>
      <x:c r="G1" s="18"/>
      <x:c r="H1" s="18"/>
    </x:row>
    <x:row r="3">
      <x:c r="A3" s="11" t="str">
        <x:v>Ticker</x:v>
      </x:c>
      <x:c r="B3" s="11" t="str">
        <x:v>FY25A</x:v>
      </x:c>
      <x:c r="C3" s="11" t="str">
        <x:v>FY26E - Prior</x:v>
      </x:c>
      <x:c r="D3" s="11" t="str">
        <x:v>FY26E - Current</x:v>
      </x:c>
      <x:c r="E3" s="11" t="str">
        <x:v>Change ($mm)</x:v>
      </x:c>
      <x:c r="F3" s="11" t="str">
        <x:v>Change (%)</x:v>
      </x:c>
      <x:c r="G3" s="11" t="str">
        <x:v>FY27E</x:v>
      </x:c>
      <x:c r="H3" s="11" t="str">
        <x:v>Source</x:v>
      </x:c>
    </x:row>
    <x:row r="4">
      <x:c r="A4" t="str">
        <x:v>NOVA</x:v>
      </x:c>
      <x:c r="B4" s="22" t="n">
        <x:v>4800</x:v>
      </x:c>
      <x:c r="C4" s="22" t="n">
        <x:v>5500</x:v>
      </x:c>
      <x:c r="D4" s="22" t="n">
        <x:v>5100</x:v>
      </x:c>
      <x:c r="E4" s="23" t="n">
        <x:f>D4-C4</x:f>
        <x:v>-400</x:v>
      </x:c>
      <x:c r="F4" s="26" t="n">
        <x:f>IF(C4=0,0,E4/C4)</x:f>
        <x:v>-0.07272727272727272</x:v>
      </x:c>
      <x:c r="G4" s="22" t="n">
        <x:v>5750</x:v>
      </x:c>
      <x:c r="H4" t="str">
        <x:v>Synthetic analyst model</x:v>
      </x:c>
    </x:row>
    <x:row r="5">
      <x:c r="A5" t="str">
        <x:v>EVRG</x:v>
      </x:c>
      <x:c r="B5" s="22" t="n">
        <x:v>7900</x:v>
      </x:c>
      <x:c r="C5" s="22" t="n">
        <x:v>8600</x:v>
      </x:c>
      <x:c r="D5" s="22" t="n">
        <x:v>8550</x:v>
      </x:c>
      <x:c r="E5" s="23" t="n">
        <x:f>D5-C5</x:f>
        <x:v>-50</x:v>
      </x:c>
      <x:c r="F5" s="26" t="n">
        <x:f>IF(C5=0,0,E5/C5)</x:f>
        <x:v>-0.005813953488372093</x:v>
      </x:c>
      <x:c r="G5" s="22" t="n">
        <x:v>9200</x:v>
      </x:c>
      <x:c r="H5" t="str">
        <x:v>Synthetic analyst model</x:v>
      </x:c>
    </x:row>
    <x:row r="6">
      <x:c r="A6" t="str">
        <x:v>APXR</x:v>
      </x:c>
      <x:c r="B6" s="22" t="n">
        <x:v>13200</x:v>
      </x:c>
      <x:c r="C6" s="22" t="n">
        <x:v>14100</x:v>
      </x:c>
      <x:c r="D6" s="22" t="n">
        <x:v>14100</x:v>
      </x:c>
      <x:c r="E6" s="23" t="n">
        <x:f>D6-C6</x:f>
        <x:v>0</x:v>
      </x:c>
      <x:c r="F6" s="26" t="n">
        <x:f>IF(C6=0,0,E6/C6)</x:f>
        <x:v>0</x:v>
      </x:c>
      <x:c r="G6" s="22" t="n">
        <x:v>14900</x:v>
      </x:c>
      <x:c r="H6" t="str">
        <x:v>Synthetic analyst model</x:v>
      </x:c>
    </x:row>
    <x:row r="7">
      <x:c r="A7" t="str">
        <x:v>MDHN</x:v>
      </x:c>
      <x:c r="B7" s="22" t="n">
        <x:v>10400</x:v>
      </x:c>
      <x:c r="C7" s="22" t="n">
        <x:v>11000</x:v>
      </x:c>
      <x:c r="D7" s="22" t="n">
        <x:v>11500</x:v>
      </x:c>
      <x:c r="E7" s="23" t="n">
        <x:f>D7-C7</x:f>
        <x:v>500</x:v>
      </x:c>
      <x:c r="F7" s="26" t="n">
        <x:f>IF(C7=0,0,E7/C7)</x:f>
        <x:v>0.045454545454545456</x:v>
      </x:c>
      <x:c r="G7" s="22" t="n">
        <x:v>12400</x:v>
      </x:c>
      <x:c r="H7" t="str">
        <x:v>Synthetic analyst model</x:v>
      </x:c>
    </x:row>
    <x:row r="8">
      <x:c r="A8" t="str">
        <x:v>VTXI</x:v>
      </x:c>
      <x:c r="B8" s="22" t="n">
        <x:v>6900</x:v>
      </x:c>
      <x:c r="C8" s="22" t="n">
        <x:v>7200</x:v>
      </x:c>
      <x:c r="D8" s="22" t="n">
        <x:v>7200</x:v>
      </x:c>
      <x:c r="E8" s="23" t="n">
        <x:f>D8-C8</x:f>
        <x:v>0</x:v>
      </x:c>
      <x:c r="F8" s="26" t="n">
        <x:f>IF(C8=0,0,E8/C8)</x:f>
        <x:v>0</x:v>
      </x:c>
      <x:c r="G8" s="22" t="n">
        <x:v>7550</x:v>
      </x:c>
      <x:c r="H8" t="str">
        <x:v>Synthetic analyst model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</x:cols>
  <x:sheetData>
    <x:row r="1">
      <x:c r="A1" s="18" t="str">
        <x:v>Adjusted EPS Estimates ($/share)</x:v>
      </x:c>
      <x:c r="B1" s="18"/>
      <x:c r="C1" s="18"/>
      <x:c r="D1" s="18"/>
      <x:c r="E1" s="18"/>
      <x:c r="F1" s="18"/>
      <x:c r="G1" s="18"/>
      <x:c r="H1" s="18"/>
    </x:row>
    <x:row r="3">
      <x:c r="A3" s="11" t="str">
        <x:v>Ticker</x:v>
      </x:c>
      <x:c r="B3" s="11" t="str">
        <x:v>FY25A</x:v>
      </x:c>
      <x:c r="C3" s="11" t="str">
        <x:v>FY26E - Prior</x:v>
      </x:c>
      <x:c r="D3" s="11" t="str">
        <x:v>FY26E - Current</x:v>
      </x:c>
      <x:c r="E3" s="11" t="str">
        <x:v>Change</x:v>
      </x:c>
      <x:c r="F3" s="11" t="str">
        <x:v>Change (%)</x:v>
      </x:c>
      <x:c r="G3" s="11" t="str">
        <x:v>FY27E</x:v>
      </x:c>
      <x:c r="H3" s="11" t="str">
        <x:v>Source</x:v>
      </x:c>
    </x:row>
    <x:row r="4">
      <x:c r="A4" t="str">
        <x:v>NOVA</x:v>
      </x:c>
      <x:c r="B4" s="28" t="n">
        <x:v>5.5</x:v>
      </x:c>
      <x:c r="C4" s="28" t="n">
        <x:v>6.2</x:v>
      </x:c>
      <x:c r="D4" s="28" t="n">
        <x:v>5.75</x:v>
      </x:c>
      <x:c r="E4" s="29" t="n">
        <x:f>D4-C4</x:f>
        <x:v>-0.4500000000000002</x:v>
      </x:c>
      <x:c r="F4" s="26" t="n">
        <x:f>IF(C4=0,0,E4/C4)</x:f>
        <x:v>-0.07258064516129036</x:v>
      </x:c>
      <x:c r="G4" s="28" t="n">
        <x:v>6.6</x:v>
      </x:c>
      <x:c r="H4" t="str">
        <x:v>Synthetic analyst model</x:v>
      </x:c>
    </x:row>
    <x:row r="5">
      <x:c r="A5" t="str">
        <x:v>EVRG</x:v>
      </x:c>
      <x:c r="B5" s="28" t="n">
        <x:v>4.1</x:v>
      </x:c>
      <x:c r="C5" s="28" t="n">
        <x:v>4.85</x:v>
      </x:c>
      <x:c r="D5" s="28" t="n">
        <x:v>4.3</x:v>
      </x:c>
      <x:c r="E5" s="29" t="n">
        <x:f>D5-C5</x:f>
        <x:v>-0.5499999999999998</x:v>
      </x:c>
      <x:c r="F5" s="26" t="n">
        <x:f>IF(C5=0,0,E5/C5)</x:f>
        <x:v>-0.11340206185567007</x:v>
      </x:c>
      <x:c r="G5" s="28" t="n">
        <x:v>5.1</x:v>
      </x:c>
      <x:c r="H5" t="str">
        <x:v>Synthetic analyst model</x:v>
      </x:c>
    </x:row>
    <x:row r="6">
      <x:c r="A6" t="str">
        <x:v>APXR</x:v>
      </x:c>
      <x:c r="B6" s="28" t="n">
        <x:v>6.8</x:v>
      </x:c>
      <x:c r="C6" s="28" t="n">
        <x:v>7.25</x:v>
      </x:c>
      <x:c r="D6" s="28" t="n">
        <x:v>7.25</x:v>
      </x:c>
      <x:c r="E6" s="29" t="n">
        <x:f>D6-C6</x:f>
        <x:v>0</x:v>
      </x:c>
      <x:c r="F6" s="26" t="n">
        <x:f>IF(C6=0,0,E6/C6)</x:f>
        <x:v>0</x:v>
      </x:c>
      <x:c r="G6" s="28" t="n">
        <x:v>7.75</x:v>
      </x:c>
      <x:c r="H6" t="str">
        <x:v>Synthetic analyst model</x:v>
      </x:c>
    </x:row>
    <x:row r="7">
      <x:c r="A7" t="str">
        <x:v>MDHN</x:v>
      </x:c>
      <x:c r="B7" s="28" t="n">
        <x:v>5.55</x:v>
      </x:c>
      <x:c r="C7" s="28" t="n">
        <x:v>6.05</x:v>
      </x:c>
      <x:c r="D7" s="28" t="n">
        <x:v>6.32</x:v>
      </x:c>
      <x:c r="E7" s="29" t="n">
        <x:f>D7-C7</x:f>
        <x:v>0.27000000000000046</x:v>
      </x:c>
      <x:c r="F7" s="26" t="n">
        <x:f>IF(C7=0,0,E7/C7)</x:f>
        <x:v>0.044628099173553794</x:v>
      </x:c>
      <x:c r="G7" s="28" t="n">
        <x:v>6.85</x:v>
      </x:c>
      <x:c r="H7" t="str">
        <x:v>Synthetic analyst model</x:v>
      </x:c>
    </x:row>
    <x:row r="8">
      <x:c r="A8" t="str">
        <x:v>VTXI</x:v>
      </x:c>
      <x:c r="B8" s="28" t="n">
        <x:v>8.75</x:v>
      </x:c>
      <x:c r="C8" s="28" t="n">
        <x:v>9.2</x:v>
      </x:c>
      <x:c r="D8" s="28" t="n">
        <x:v>9.2</x:v>
      </x:c>
      <x:c r="E8" s="29" t="n">
        <x:f>D8-C8</x:f>
        <x:v>0</x:v>
      </x:c>
      <x:c r="F8" s="26" t="n">
        <x:f>IF(C8=0,0,E8/C8)</x:f>
        <x:v>0</x:v>
      </x:c>
      <x:c r="G8" s="28" t="n">
        <x:v>9.85</x:v>
      </x:c>
      <x:c r="H8" t="str">
        <x:v>Synthetic analyst model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26" hidden="0" customWidth="1"/>
  </x:cols>
  <x:sheetData>
    <x:row r="1">
      <x:c r="A1" s="18" t="str">
        <x:v>Management Guidance History</x:v>
      </x:c>
      <x:c r="B1" s="18"/>
      <x:c r="C1" s="18"/>
      <x:c r="D1" s="18"/>
      <x:c r="E1" s="18"/>
      <x:c r="F1" s="18"/>
    </x:row>
    <x:row r="3">
      <x:c r="A3" s="12" t="str">
        <x:v>Ticker</x:v>
      </x:c>
      <x:c r="B3" s="12" t="str">
        <x:v>Q1 2026 Guidance</x:v>
      </x:c>
      <x:c r="C3" s="12" t="str">
        <x:v>Q2 2026 Guidance</x:v>
      </x:c>
      <x:c r="D3" s="12" t="str">
        <x:v>Action</x:v>
      </x:c>
      <x:c r="E3" s="12" t="str">
        <x:v>Primary Driver</x:v>
      </x:c>
      <x:c r="F3" s="12" t="str">
        <x:v>Evidence Priority</x:v>
      </x:c>
    </x:row>
    <x:row r="4">
      <x:c r="A4" s="16" t="str">
        <x:v>NOVA</x:v>
      </x:c>
      <x:c r="B4" s="16" t="str">
        <x:v>$5.4-$5.6B revenue; ~58% GM</x:v>
      </x:c>
      <x:c r="C4" s="16" t="str">
        <x:v>$5.0-$5.2B revenue; 55%-56% GM</x:v>
      </x:c>
      <x:c r="D4" s="16" t="str">
        <x:v>Lowered</x:v>
      </x:c>
      <x:c r="E4" s="16" t="str">
        <x:v>Export timing / qualification / mix</x:v>
      </x:c>
      <x:c r="F4" s="16" t="str">
        <x:v>Primary company source</x:v>
      </x:c>
    </x:row>
    <x:row r="5">
      <x:c r="A5" s="16" t="str">
        <x:v>EVRG</x:v>
      </x:c>
      <x:c r="B5" s="16" t="str">
        <x:v>$1.80-$1.90B EBITDA</x:v>
      </x:c>
      <x:c r="C5" s="16" t="str">
        <x:v>$1.60-$1.70B EBITDA</x:v>
      </x:c>
      <x:c r="D5" s="16" t="str">
        <x:v>Lowered</x:v>
      </x:c>
      <x:c r="E5" s="16" t="str">
        <x:v>Commissioning / financing / logistics</x:v>
      </x:c>
      <x:c r="F5" s="16" t="str">
        <x:v>Primary company source</x:v>
      </x:c>
    </x:row>
    <x:row r="6">
      <x:c r="A6" s="16" t="str">
        <x:v>APXR</x:v>
      </x:c>
      <x:c r="B6" s="16" t="str">
        <x:v>4%-6% revenue growth; $7.10-$7.40 EPS</x:v>
      </x:c>
      <x:c r="C6" s="16" t="str">
        <x:v>Same</x:v>
      </x:c>
      <x:c r="D6" s="16" t="str">
        <x:v>Maintained</x:v>
      </x:c>
      <x:c r="E6" s="16" t="str">
        <x:v>Traffic/productivity offset freight</x:v>
      </x:c>
      <x:c r="F6" s="16" t="str">
        <x:v>Primary company source</x:v>
      </x:c>
    </x:row>
    <x:row r="7">
      <x:c r="A7" s="16" t="str">
        <x:v>MDHN</x:v>
      </x:c>
      <x:c r="B7" s="16" t="str">
        <x:v>6%-8% revenue growth; $5.90-$6.20 EPS</x:v>
      </x:c>
      <x:c r="C7" s="16" t="str">
        <x:v>8%-10% revenue growth; $6.20-$6.45 EPS</x:v>
      </x:c>
      <x:c r="D7" s="16" t="str">
        <x:v>Raised</x:v>
      </x:c>
      <x:c r="E7" s="16" t="str">
        <x:v>Utilization / productivity / enrollment</x:v>
      </x:c>
      <x:c r="F7" s="16" t="str">
        <x:v>Primary company source</x:v>
      </x:c>
    </x:row>
    <x:row r="8">
      <x:c r="A8" s="16" t="str">
        <x:v>VTXI</x:v>
      </x:c>
      <x:c r="B8" s="16" t="str">
        <x:v>$7.1-$7.3B revenue; $9.00-$9.40 EPS</x:v>
      </x:c>
      <x:c r="C8" s="16" t="str">
        <x:v>Same</x:v>
      </x:c>
      <x:c r="D8" s="16" t="str">
        <x:v>Maintained</x:v>
      </x:c>
      <x:c r="E8" s="16" t="str">
        <x:v>Automation offsets softness</x:v>
      </x:c>
      <x:c r="F8" s="16" t="str">
        <x:v>Primary company source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18" t="str">
        <x:v>Blue Harbor Target Price Tracker ($/share)</x:v>
      </x:c>
      <x:c r="B1" s="18"/>
      <x:c r="C1" s="18"/>
      <x:c r="D1" s="18"/>
      <x:c r="E1" s="18"/>
      <x:c r="F1" s="18"/>
      <x:c r="G1" s="18"/>
    </x:row>
    <x:row r="3">
      <x:c r="A3" s="11" t="str">
        <x:v>Ticker</x:v>
      </x:c>
      <x:c r="B3" s="11" t="str">
        <x:v>Current Price</x:v>
      </x:c>
      <x:c r="C3" s="11" t="str">
        <x:v>Prior Target</x:v>
      </x:c>
      <x:c r="D3" s="11" t="str">
        <x:v>Current Target</x:v>
      </x:c>
      <x:c r="E3" s="11" t="str">
        <x:v>Upside / (Downside)</x:v>
      </x:c>
      <x:c r="F3" s="11" t="str">
        <x:v>Rating</x:v>
      </x:c>
      <x:c r="G3" s="11" t="str">
        <x:v>Source</x:v>
      </x:c>
    </x:row>
    <x:row r="4">
      <x:c r="A4" t="str">
        <x:v>NOVA</x:v>
      </x:c>
      <x:c r="B4" s="28" t="n">
        <x:v>101</x:v>
      </x:c>
      <x:c r="C4" s="28" t="n">
        <x:v>145</x:v>
      </x:c>
      <x:c r="D4" s="28" t="n">
        <x:v>132</x:v>
      </x:c>
      <x:c r="E4" s="26" t="n">
        <x:f>IF(B4=0,0,D4/B4-1)</x:f>
        <x:v>0.306930693069307</x:v>
      </x:c>
      <x:c r="F4" t="str">
        <x:v>Overweight</x:v>
      </x:c>
      <x:c r="G4" t="str">
        <x:v>Synthetic analyst view</x:v>
      </x:c>
    </x:row>
    <x:row r="5">
      <x:c r="A5" t="str">
        <x:v>EVRG</x:v>
      </x:c>
      <x:c r="B5" s="28" t="n">
        <x:v>77</x:v>
      </x:c>
      <x:c r="C5" s="28" t="n">
        <x:v>105</x:v>
      </x:c>
      <x:c r="D5" s="28" t="n">
        <x:v>94</x:v>
      </x:c>
      <x:c r="E5" s="26" t="n">
        <x:f>IF(B5=0,0,D5/B5-1)</x:f>
        <x:v>0.22077922077922074</x:v>
      </x:c>
      <x:c r="F5" t="str">
        <x:v>Overweight</x:v>
      </x:c>
      <x:c r="G5" t="str">
        <x:v>Synthetic analyst view</x:v>
      </x:c>
    </x:row>
    <x:row r="6">
      <x:c r="A6" t="str">
        <x:v>APXR</x:v>
      </x:c>
      <x:c r="B6" s="28" t="n">
        <x:v>122</x:v>
      </x:c>
      <x:c r="C6" s="28" t="n">
        <x:v>135</x:v>
      </x:c>
      <x:c r="D6" s="28" t="n">
        <x:v>136</x:v>
      </x:c>
      <x:c r="E6" s="26" t="n">
        <x:f>IF(B6=0,0,D6/B6-1)</x:f>
        <x:v>0.11475409836065564</x:v>
      </x:c>
      <x:c r="F6" t="str">
        <x:v>Market Weight</x:v>
      </x:c>
      <x:c r="G6" t="str">
        <x:v>Synthetic analyst view</x:v>
      </x:c>
    </x:row>
    <x:row r="7">
      <x:c r="A7" t="str">
        <x:v>MDHN</x:v>
      </x:c>
      <x:c r="B7" s="28" t="n">
        <x:v>170</x:v>
      </x:c>
      <x:c r="C7" s="28" t="n">
        <x:v>175</x:v>
      </x:c>
      <x:c r="D7" s="28" t="n">
        <x:v>195</x:v>
      </x:c>
      <x:c r="E7" s="26" t="n">
        <x:f>IF(B7=0,0,D7/B7-1)</x:f>
        <x:v>0.1470588235294117</x:v>
      </x:c>
      <x:c r="F7" t="str">
        <x:v>Overweight</x:v>
      </x:c>
      <x:c r="G7" t="str">
        <x:v>Synthetic analyst view</x:v>
      </x:c>
    </x:row>
    <x:row r="8">
      <x:c r="A8" t="str">
        <x:v>VTXI</x:v>
      </x:c>
      <x:c r="B8" s="28" t="n">
        <x:v>152</x:v>
      </x:c>
      <x:c r="C8" s="28" t="n">
        <x:v>165</x:v>
      </x:c>
      <x:c r="D8" s="28" t="n">
        <x:v>168</x:v>
      </x:c>
      <x:c r="E8" s="26" t="n">
        <x:f>IF(B8=0,0,D8/B8-1)</x:f>
        <x:v>0.10526315789473695</x:v>
      </x:c>
      <x:c r="F8" t="str">
        <x:v>Market Weight</x:v>
      </x:c>
      <x:c r="G8" t="str">
        <x:v>Synthetic analyst view</x:v>
      </x:c>
    </x:row>
  </x:sheetData>
  <x:mergeCells>
    <x:mergeCell ref="A1:G1"/>
  </x:mergeCells>
  <x:pageMargins left="0.7" right="0.7" top="0.75" bottom="0.75" header="0.3" footer="0.3"/>
</x:worksheet>
</file>